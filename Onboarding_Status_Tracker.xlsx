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Dashboard" sheetId="2" state="visible" r:id="rId2"/>
  </sheets>
  <definedNames>
    <definedName name="_xlnm._FilterDatabase" localSheetId="0" hidden="1">'Tracker'!$A$3:$N$13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95959"/>
      <sz val="10"/>
    </font>
    <font>
      <b val="1"/>
      <color rgb="00FFFFFF"/>
      <sz val="11"/>
    </font>
    <font>
      <b val="1"/>
    </font>
    <font>
      <i val="1"/>
      <color rgb="009C0006"/>
    </font>
    <font>
      <b val="1"/>
      <color rgb="00FFFFFF"/>
    </font>
    <font>
      <b val="1"/>
      <sz val="12"/>
    </font>
    <font>
      <b val="1"/>
      <color rgb="00006100"/>
      <sz val="14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0" pivotButton="0" quotePrefix="0" xfId="0"/>
    <xf numFmtId="9" fontId="8" fillId="0" borderId="0" applyAlignment="1" pivotButton="0" quotePrefix="0" xfId="0">
      <alignment horizontal="left" vertical="center"/>
    </xf>
    <xf numFmtId="0" fontId="4" fillId="0" borderId="1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8" customWidth="1" min="10" max="10"/>
    <col width="9" customWidth="1" min="11" max="11"/>
    <col width="12" customWidth="1" min="12" max="12"/>
    <col width="15" customWidth="1" min="13" max="13"/>
    <col width="42" customWidth="1" min="14" max="14"/>
  </cols>
  <sheetData>
    <row r="1" ht="30" customHeight="1">
      <c r="A1" s="1" t="inlineStr">
        <is>
          <t>BRAND ONBOARDING &amp; COMPLIANCE TRACKER</t>
        </is>
      </c>
    </row>
    <row r="2" ht="18" customHeight="1">
      <c r="A2" s="2" t="inlineStr">
        <is>
          <t>Last updated: 25 Jul 2026   |   Green = Done  •  Red = Pending   |   Tip: click any status cell to pick Done/Pending from dropdown</t>
        </is>
      </c>
    </row>
    <row r="3" ht="40" customHeight="1">
      <c r="A3" s="3" t="inlineStr">
        <is>
          <t>Brand</t>
        </is>
      </c>
      <c r="B3" s="3" t="inlineStr">
        <is>
          <t>Term Sheet</t>
        </is>
      </c>
      <c r="C3" s="3" t="inlineStr">
        <is>
          <t>Agreement</t>
        </is>
      </c>
      <c r="D3" s="3" t="inlineStr">
        <is>
          <t>FSSAI</t>
        </is>
      </c>
      <c r="E3" s="3" t="inlineStr">
        <is>
          <t>Final Menu</t>
        </is>
      </c>
      <c r="F3" s="3" t="inlineStr">
        <is>
          <t>PDC</t>
        </is>
      </c>
      <c r="G3" s="3" t="inlineStr">
        <is>
          <t>Employee List</t>
        </is>
      </c>
      <c r="H3" s="3" t="inlineStr">
        <is>
          <t>Medicals</t>
        </is>
      </c>
      <c r="I3" s="3" t="inlineStr">
        <is>
          <t>Police Verification</t>
        </is>
      </c>
      <c r="J3" s="3" t="inlineStr">
        <is>
          <t>Done</t>
        </is>
      </c>
      <c r="K3" s="3" t="inlineStr">
        <is>
          <t>Pending</t>
        </is>
      </c>
      <c r="L3" s="3" t="inlineStr">
        <is>
          <t>Progress</t>
        </is>
      </c>
      <c r="M3" s="3" t="inlineStr">
        <is>
          <t>Status</t>
        </is>
      </c>
      <c r="N3" s="3" t="inlineStr">
        <is>
          <t>Remarks</t>
        </is>
      </c>
    </row>
    <row r="4">
      <c r="A4" s="4" t="inlineStr">
        <is>
          <t>Milkbar</t>
        </is>
      </c>
      <c r="B4" s="5" t="inlineStr">
        <is>
          <t>Done</t>
        </is>
      </c>
      <c r="C4" s="5" t="inlineStr">
        <is>
          <t>Done</t>
        </is>
      </c>
      <c r="D4" s="5" t="inlineStr">
        <is>
          <t>Pending</t>
        </is>
      </c>
      <c r="E4" s="5" t="inlineStr">
        <is>
          <t>Pending</t>
        </is>
      </c>
      <c r="F4" s="5" t="inlineStr">
        <is>
          <t>Pending</t>
        </is>
      </c>
      <c r="G4" s="5" t="inlineStr">
        <is>
          <t>Pending</t>
        </is>
      </c>
      <c r="H4" s="5" t="inlineStr">
        <is>
          <t>Pending</t>
        </is>
      </c>
      <c r="I4" s="5" t="inlineStr">
        <is>
          <t>Pending</t>
        </is>
      </c>
      <c r="J4" s="5">
        <f>COUNTIF(B4:I4,"Done")</f>
        <v/>
      </c>
      <c r="K4" s="5">
        <f>COUNTIF(B4:I4,"Pending")</f>
        <v/>
      </c>
      <c r="L4" s="6">
        <f>J4/8</f>
        <v/>
      </c>
      <c r="M4" s="7">
        <f>IF(J4=8,"✅ Complete",IF(J4=0,"🔴 Not Started","🟡 In Progress"))</f>
        <v/>
      </c>
      <c r="N4" s="8" t="inlineStr"/>
    </row>
    <row r="5">
      <c r="A5" s="4" t="inlineStr">
        <is>
          <t>Big Bear</t>
        </is>
      </c>
      <c r="B5" s="5" t="inlineStr">
        <is>
          <t>Done</t>
        </is>
      </c>
      <c r="C5" s="5" t="inlineStr">
        <is>
          <t>Done</t>
        </is>
      </c>
      <c r="D5" s="5" t="inlineStr">
        <is>
          <t>Done</t>
        </is>
      </c>
      <c r="E5" s="5" t="inlineStr">
        <is>
          <t>Pending</t>
        </is>
      </c>
      <c r="F5" s="5" t="inlineStr">
        <is>
          <t>Pending</t>
        </is>
      </c>
      <c r="G5" s="5" t="inlineStr">
        <is>
          <t>Pending</t>
        </is>
      </c>
      <c r="H5" s="5" t="inlineStr">
        <is>
          <t>Pending</t>
        </is>
      </c>
      <c r="I5" s="5" t="inlineStr">
        <is>
          <t>Pending</t>
        </is>
      </c>
      <c r="J5" s="5">
        <f>COUNTIF(B5:I5,"Done")</f>
        <v/>
      </c>
      <c r="K5" s="5">
        <f>COUNTIF(B5:I5,"Pending")</f>
        <v/>
      </c>
      <c r="L5" s="6">
        <f>J5/8</f>
        <v/>
      </c>
      <c r="M5" s="7">
        <f>IF(J5=8,"✅ Complete",IF(J5=0,"🔴 Not Started","🟡 In Progress"))</f>
        <v/>
      </c>
      <c r="N5" s="8" t="inlineStr"/>
    </row>
    <row r="6">
      <c r="A6" s="4" t="inlineStr">
        <is>
          <t>BBF</t>
        </is>
      </c>
      <c r="B6" s="5" t="inlineStr">
        <is>
          <t>Pending</t>
        </is>
      </c>
      <c r="C6" s="5" t="inlineStr">
        <is>
          <t>Pending</t>
        </is>
      </c>
      <c r="D6" s="5" t="inlineStr">
        <is>
          <t>Pending</t>
        </is>
      </c>
      <c r="E6" s="5" t="inlineStr">
        <is>
          <t>Pending</t>
        </is>
      </c>
      <c r="F6" s="5" t="inlineStr">
        <is>
          <t>Pending</t>
        </is>
      </c>
      <c r="G6" s="5" t="inlineStr">
        <is>
          <t>Pending</t>
        </is>
      </c>
      <c r="H6" s="5" t="inlineStr">
        <is>
          <t>Pending</t>
        </is>
      </c>
      <c r="I6" s="5" t="inlineStr">
        <is>
          <t>Pending</t>
        </is>
      </c>
      <c r="J6" s="5">
        <f>COUNTIF(B6:I6,"Done")</f>
        <v/>
      </c>
      <c r="K6" s="5">
        <f>COUNTIF(B6:I6,"Pending")</f>
        <v/>
      </c>
      <c r="L6" s="6">
        <f>J6/8</f>
        <v/>
      </c>
      <c r="M6" s="7">
        <f>IF(J6=8,"✅ Complete",IF(J6=0,"🔴 Not Started","🟡 In Progress"))</f>
        <v/>
      </c>
      <c r="N6" s="9" t="inlineStr">
        <is>
          <t>Term sheet &amp; agreement not signed by owner</t>
        </is>
      </c>
    </row>
    <row r="7">
      <c r="A7" s="4" t="inlineStr">
        <is>
          <t>Koby's</t>
        </is>
      </c>
      <c r="B7" s="5" t="inlineStr">
        <is>
          <t>Done</t>
        </is>
      </c>
      <c r="C7" s="5" t="inlineStr">
        <is>
          <t>Done</t>
        </is>
      </c>
      <c r="D7" s="5" t="inlineStr">
        <is>
          <t>Done</t>
        </is>
      </c>
      <c r="E7" s="5" t="inlineStr">
        <is>
          <t>Done</t>
        </is>
      </c>
      <c r="F7" s="5" t="inlineStr">
        <is>
          <t>Pending</t>
        </is>
      </c>
      <c r="G7" s="5" t="inlineStr">
        <is>
          <t>Pending</t>
        </is>
      </c>
      <c r="H7" s="5" t="inlineStr">
        <is>
          <t>Pending</t>
        </is>
      </c>
      <c r="I7" s="5" t="inlineStr">
        <is>
          <t>Pending</t>
        </is>
      </c>
      <c r="J7" s="5">
        <f>COUNTIF(B7:I7,"Done")</f>
        <v/>
      </c>
      <c r="K7" s="5">
        <f>COUNTIF(B7:I7,"Pending")</f>
        <v/>
      </c>
      <c r="L7" s="6">
        <f>J7/8</f>
        <v/>
      </c>
      <c r="M7" s="7">
        <f>IF(J7=8,"✅ Complete",IF(J7=0,"🔴 Not Started","🟡 In Progress"))</f>
        <v/>
      </c>
      <c r="N7" s="8" t="inlineStr"/>
    </row>
    <row r="8">
      <c r="A8" s="4" t="inlineStr">
        <is>
          <t>Eggspert</t>
        </is>
      </c>
      <c r="B8" s="5" t="inlineStr">
        <is>
          <t>Done</t>
        </is>
      </c>
      <c r="C8" s="5" t="inlineStr">
        <is>
          <t>Pending</t>
        </is>
      </c>
      <c r="D8" s="5" t="inlineStr">
        <is>
          <t>Pending</t>
        </is>
      </c>
      <c r="E8" s="5" t="inlineStr">
        <is>
          <t>Pending</t>
        </is>
      </c>
      <c r="F8" s="5" t="inlineStr">
        <is>
          <t>Pending</t>
        </is>
      </c>
      <c r="G8" s="5" t="inlineStr">
        <is>
          <t>Pending</t>
        </is>
      </c>
      <c r="H8" s="5" t="inlineStr">
        <is>
          <t>Done</t>
        </is>
      </c>
      <c r="I8" s="5" t="inlineStr">
        <is>
          <t>Pending</t>
        </is>
      </c>
      <c r="J8" s="5">
        <f>COUNTIF(B8:I8,"Done")</f>
        <v/>
      </c>
      <c r="K8" s="5">
        <f>COUNTIF(B8:I8,"Pending")</f>
        <v/>
      </c>
      <c r="L8" s="6">
        <f>J8/8</f>
        <v/>
      </c>
      <c r="M8" s="7">
        <f>IF(J8=8,"✅ Complete",IF(J8=0,"🔴 Not Started","🟡 In Progress"))</f>
        <v/>
      </c>
      <c r="N8" s="9" t="inlineStr">
        <is>
          <t>Agreement not signed</t>
        </is>
      </c>
    </row>
    <row r="9">
      <c r="A9" s="4" t="inlineStr">
        <is>
          <t>Chatpata Affair</t>
        </is>
      </c>
      <c r="B9" s="5" t="inlineStr">
        <is>
          <t>Pending</t>
        </is>
      </c>
      <c r="C9" s="5" t="inlineStr">
        <is>
          <t>Pending</t>
        </is>
      </c>
      <c r="D9" s="5" t="inlineStr">
        <is>
          <t>Pending</t>
        </is>
      </c>
      <c r="E9" s="5" t="inlineStr">
        <is>
          <t>Done</t>
        </is>
      </c>
      <c r="F9" s="5" t="inlineStr">
        <is>
          <t>Pending</t>
        </is>
      </c>
      <c r="G9" s="5" t="inlineStr">
        <is>
          <t>Pending</t>
        </is>
      </c>
      <c r="H9" s="5" t="inlineStr">
        <is>
          <t>Pending</t>
        </is>
      </c>
      <c r="I9" s="5" t="inlineStr">
        <is>
          <t>Pending</t>
        </is>
      </c>
      <c r="J9" s="5">
        <f>COUNTIF(B9:I9,"Done")</f>
        <v/>
      </c>
      <c r="K9" s="5">
        <f>COUNTIF(B9:I9,"Pending")</f>
        <v/>
      </c>
      <c r="L9" s="6">
        <f>J9/8</f>
        <v/>
      </c>
      <c r="M9" s="7">
        <f>IF(J9=8,"✅ Complete",IF(J9=0,"🔴 Not Started","🟡 In Progress"))</f>
        <v/>
      </c>
      <c r="N9" s="9" t="inlineStr">
        <is>
          <t>Term sheet &amp; agreement not signed</t>
        </is>
      </c>
    </row>
    <row r="10">
      <c r="A10" s="4" t="inlineStr">
        <is>
          <t>The Coffee Vault</t>
        </is>
      </c>
      <c r="B10" s="5" t="inlineStr">
        <is>
          <t>Done</t>
        </is>
      </c>
      <c r="C10" s="5" t="inlineStr">
        <is>
          <t>Done</t>
        </is>
      </c>
      <c r="D10" s="5" t="inlineStr">
        <is>
          <t>Done</t>
        </is>
      </c>
      <c r="E10" s="5" t="inlineStr">
        <is>
          <t>Pending</t>
        </is>
      </c>
      <c r="F10" s="5" t="inlineStr">
        <is>
          <t>Pending</t>
        </is>
      </c>
      <c r="G10" s="5" t="inlineStr">
        <is>
          <t>Pending</t>
        </is>
      </c>
      <c r="H10" s="5" t="inlineStr">
        <is>
          <t>Pending</t>
        </is>
      </c>
      <c r="I10" s="5" t="inlineStr">
        <is>
          <t>Pending</t>
        </is>
      </c>
      <c r="J10" s="5">
        <f>COUNTIF(B10:I10,"Done")</f>
        <v/>
      </c>
      <c r="K10" s="5">
        <f>COUNTIF(B10:I10,"Pending")</f>
        <v/>
      </c>
      <c r="L10" s="6">
        <f>J10/8</f>
        <v/>
      </c>
      <c r="M10" s="7">
        <f>IF(J10=8,"✅ Complete",IF(J10=0,"🔴 Not Started","🟡 In Progress"))</f>
        <v/>
      </c>
      <c r="N10" s="8" t="inlineStr"/>
    </row>
    <row r="11">
      <c r="A11" s="4" t="inlineStr">
        <is>
          <t>Og Pizza</t>
        </is>
      </c>
      <c r="B11" s="5" t="inlineStr">
        <is>
          <t>Done</t>
        </is>
      </c>
      <c r="C11" s="5" t="inlineStr">
        <is>
          <t>Done</t>
        </is>
      </c>
      <c r="D11" s="5" t="inlineStr">
        <is>
          <t>Done</t>
        </is>
      </c>
      <c r="E11" s="5" t="inlineStr">
        <is>
          <t>Done</t>
        </is>
      </c>
      <c r="F11" s="5" t="inlineStr">
        <is>
          <t>Pending</t>
        </is>
      </c>
      <c r="G11" s="5" t="inlineStr">
        <is>
          <t>Done</t>
        </is>
      </c>
      <c r="H11" s="5" t="inlineStr">
        <is>
          <t>Pending</t>
        </is>
      </c>
      <c r="I11" s="5" t="inlineStr">
        <is>
          <t>Pending</t>
        </is>
      </c>
      <c r="J11" s="5">
        <f>COUNTIF(B11:I11,"Done")</f>
        <v/>
      </c>
      <c r="K11" s="5">
        <f>COUNTIF(B11:I11,"Pending")</f>
        <v/>
      </c>
      <c r="L11" s="6">
        <f>J11/8</f>
        <v/>
      </c>
      <c r="M11" s="7">
        <f>IF(J11=8,"✅ Complete",IF(J11=0,"🔴 Not Started","🟡 In Progress"))</f>
        <v/>
      </c>
      <c r="N11" s="9" t="inlineStr">
        <is>
          <t>PDC to be collected from truck</t>
        </is>
      </c>
    </row>
    <row r="12">
      <c r="A12" s="4" t="inlineStr">
        <is>
          <t>The Momo Box</t>
        </is>
      </c>
      <c r="B12" s="5" t="inlineStr">
        <is>
          <t>Pending</t>
        </is>
      </c>
      <c r="C12" s="5" t="inlineStr">
        <is>
          <t>Pending</t>
        </is>
      </c>
      <c r="D12" s="5" t="inlineStr">
        <is>
          <t>Done</t>
        </is>
      </c>
      <c r="E12" s="5" t="inlineStr">
        <is>
          <t>Pending</t>
        </is>
      </c>
      <c r="F12" s="5" t="inlineStr">
        <is>
          <t>Pending</t>
        </is>
      </c>
      <c r="G12" s="5" t="inlineStr">
        <is>
          <t>Pending</t>
        </is>
      </c>
      <c r="H12" s="5" t="inlineStr">
        <is>
          <t>Pending</t>
        </is>
      </c>
      <c r="I12" s="5" t="inlineStr">
        <is>
          <t>Pending</t>
        </is>
      </c>
      <c r="J12" s="5">
        <f>COUNTIF(B12:I12,"Done")</f>
        <v/>
      </c>
      <c r="K12" s="5">
        <f>COUNTIF(B12:I12,"Pending")</f>
        <v/>
      </c>
      <c r="L12" s="6">
        <f>J12/8</f>
        <v/>
      </c>
      <c r="M12" s="7">
        <f>IF(J12=8,"✅ Complete",IF(J12=0,"🔴 Not Started","🟡 In Progress"))</f>
        <v/>
      </c>
      <c r="N12" s="9" t="inlineStr">
        <is>
          <t>Term sheet &amp; agreement not signed by owner</t>
        </is>
      </c>
    </row>
    <row r="13">
      <c r="A13" s="4" t="inlineStr">
        <is>
          <t>Burrito Bros</t>
        </is>
      </c>
      <c r="B13" s="5" t="inlineStr">
        <is>
          <t>Pending</t>
        </is>
      </c>
      <c r="C13" s="5" t="inlineStr">
        <is>
          <t>Pending</t>
        </is>
      </c>
      <c r="D13" s="5" t="inlineStr">
        <is>
          <t>Done</t>
        </is>
      </c>
      <c r="E13" s="5" t="inlineStr">
        <is>
          <t>Pending</t>
        </is>
      </c>
      <c r="F13" s="5" t="inlineStr">
        <is>
          <t>Pending</t>
        </is>
      </c>
      <c r="G13" s="5" t="inlineStr">
        <is>
          <t>Pending</t>
        </is>
      </c>
      <c r="H13" s="5" t="inlineStr">
        <is>
          <t>Pending</t>
        </is>
      </c>
      <c r="I13" s="5" t="inlineStr">
        <is>
          <t>Pending</t>
        </is>
      </c>
      <c r="J13" s="5">
        <f>COUNTIF(B13:I13,"Done")</f>
        <v/>
      </c>
      <c r="K13" s="5">
        <f>COUNTIF(B13:I13,"Pending")</f>
        <v/>
      </c>
      <c r="L13" s="6">
        <f>J13/8</f>
        <v/>
      </c>
      <c r="M13" s="7">
        <f>IF(J13=8,"✅ Complete",IF(J13=0,"🔴 Not Started","🟡 In Progress"))</f>
        <v/>
      </c>
      <c r="N13" s="9" t="inlineStr">
        <is>
          <t>Term sheet &amp; agreement not signed</t>
        </is>
      </c>
    </row>
    <row r="14">
      <c r="A14" s="10" t="inlineStr">
        <is>
          <t>✔ Brands Done</t>
        </is>
      </c>
      <c r="B14" s="11">
        <f>COUNTIF(B4:B13,"Done")&amp;"/"&amp;10</f>
        <v/>
      </c>
      <c r="C14" s="11">
        <f>COUNTIF(C4:C13,"Done")&amp;"/"&amp;10</f>
        <v/>
      </c>
      <c r="D14" s="11">
        <f>COUNTIF(D4:D13,"Done")&amp;"/"&amp;10</f>
        <v/>
      </c>
      <c r="E14" s="11">
        <f>COUNTIF(E4:E13,"Done")&amp;"/"&amp;10</f>
        <v/>
      </c>
      <c r="F14" s="11">
        <f>COUNTIF(F4:F13,"Done")&amp;"/"&amp;10</f>
        <v/>
      </c>
      <c r="G14" s="11">
        <f>COUNTIF(G4:G13,"Done")&amp;"/"&amp;10</f>
        <v/>
      </c>
      <c r="H14" s="11">
        <f>COUNTIF(H4:H13,"Done")&amp;"/"&amp;10</f>
        <v/>
      </c>
      <c r="I14" s="11">
        <f>COUNTIF(I4:I13,"Done")&amp;"/"&amp;10</f>
        <v/>
      </c>
      <c r="J14" s="5">
        <f>SUM(J4:J13)</f>
        <v/>
      </c>
      <c r="K14" s="5">
        <f>SUM(K4:K13)</f>
        <v/>
      </c>
      <c r="L14" s="12">
        <f>SUM(J4:J13)/(8*10)</f>
        <v/>
      </c>
      <c r="M14" s="7" t="inlineStr">
        <is>
          <t>OVERALL</t>
        </is>
      </c>
      <c r="N14" s="13" t="n"/>
    </row>
  </sheetData>
  <autoFilter ref="A3:N13"/>
  <mergeCells count="2">
    <mergeCell ref="A2:N2"/>
    <mergeCell ref="A1:N1"/>
  </mergeCells>
  <conditionalFormatting sqref="B4:I13">
    <cfRule type="cellIs" priority="1" operator="equal" dxfId="0">
      <formula>"Done"</formula>
    </cfRule>
    <cfRule type="cellIs" priority="2" operator="equal" dxfId="1">
      <formula>"Pending"</formula>
    </cfRule>
  </conditionalFormatting>
  <conditionalFormatting sqref="L4:L13">
    <cfRule type="dataBar" priority="3">
      <dataBar showValue="1">
        <cfvo type="num" val="0"/>
        <cfvo type="num" val="1"/>
        <color rgb="0063C384"/>
      </dataBar>
    </cfRule>
  </conditionalFormatting>
  <conditionalFormatting sqref="K4:K13">
    <cfRule type="cellIs" priority="4" operator="greaterThanOrEqual" dxfId="1">
      <formula>6</formula>
    </cfRule>
  </conditionalFormatting>
  <dataValidations count="1">
    <dataValidation sqref="B4:I13" showDropDown="0" showInputMessage="0" showErrorMessage="0" allowBlank="0" error="Please pick Done or Pending" prompt="Select status" type="list">
      <formula1>"Done,Pending"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6" customWidth="1" min="4" max="4"/>
  </cols>
  <sheetData>
    <row r="1" ht="30" customHeight="1">
      <c r="A1" s="1" t="inlineStr">
        <is>
          <t>📊 ONBOARDING DASHBOARD</t>
        </is>
      </c>
    </row>
    <row r="3">
      <c r="A3" s="14" t="inlineStr">
        <is>
          <t>Overall Completion</t>
        </is>
      </c>
      <c r="B3" s="15">
        <f>Tracker!L14</f>
        <v/>
      </c>
    </row>
    <row r="5">
      <c r="A5" s="3" t="inlineStr">
        <is>
          <t>Brand</t>
        </is>
      </c>
      <c r="B5" s="3" t="inlineStr">
        <is>
          <t>Progress</t>
        </is>
      </c>
      <c r="C5" s="3" t="inlineStr">
        <is>
          <t>Done</t>
        </is>
      </c>
      <c r="D5" s="3" t="inlineStr">
        <is>
          <t>Status</t>
        </is>
      </c>
    </row>
    <row r="6">
      <c r="A6" s="16">
        <f>Tracker!A4</f>
        <v/>
      </c>
      <c r="B6" s="6">
        <f>Tracker!L4</f>
        <v/>
      </c>
      <c r="C6" s="5">
        <f>Tracker!J4&amp;"/"&amp;8</f>
        <v/>
      </c>
      <c r="D6" s="5">
        <f>Tracker!M4</f>
        <v/>
      </c>
    </row>
    <row r="7">
      <c r="A7" s="16">
        <f>Tracker!A5</f>
        <v/>
      </c>
      <c r="B7" s="6">
        <f>Tracker!L5</f>
        <v/>
      </c>
      <c r="C7" s="5">
        <f>Tracker!J5&amp;"/"&amp;8</f>
        <v/>
      </c>
      <c r="D7" s="5">
        <f>Tracker!M5</f>
        <v/>
      </c>
    </row>
    <row r="8">
      <c r="A8" s="16">
        <f>Tracker!A6</f>
        <v/>
      </c>
      <c r="B8" s="6">
        <f>Tracker!L6</f>
        <v/>
      </c>
      <c r="C8" s="5">
        <f>Tracker!J6&amp;"/"&amp;8</f>
        <v/>
      </c>
      <c r="D8" s="5">
        <f>Tracker!M6</f>
        <v/>
      </c>
    </row>
    <row r="9">
      <c r="A9" s="16">
        <f>Tracker!A7</f>
        <v/>
      </c>
      <c r="B9" s="6">
        <f>Tracker!L7</f>
        <v/>
      </c>
      <c r="C9" s="5">
        <f>Tracker!J7&amp;"/"&amp;8</f>
        <v/>
      </c>
      <c r="D9" s="5">
        <f>Tracker!M7</f>
        <v/>
      </c>
    </row>
    <row r="10">
      <c r="A10" s="16">
        <f>Tracker!A8</f>
        <v/>
      </c>
      <c r="B10" s="6">
        <f>Tracker!L8</f>
        <v/>
      </c>
      <c r="C10" s="5">
        <f>Tracker!J8&amp;"/"&amp;8</f>
        <v/>
      </c>
      <c r="D10" s="5">
        <f>Tracker!M8</f>
        <v/>
      </c>
    </row>
    <row r="11">
      <c r="A11" s="16">
        <f>Tracker!A9</f>
        <v/>
      </c>
      <c r="B11" s="6">
        <f>Tracker!L9</f>
        <v/>
      </c>
      <c r="C11" s="5">
        <f>Tracker!J9&amp;"/"&amp;8</f>
        <v/>
      </c>
      <c r="D11" s="5">
        <f>Tracker!M9</f>
        <v/>
      </c>
    </row>
    <row r="12">
      <c r="A12" s="16">
        <f>Tracker!A10</f>
        <v/>
      </c>
      <c r="B12" s="6">
        <f>Tracker!L10</f>
        <v/>
      </c>
      <c r="C12" s="5">
        <f>Tracker!J10&amp;"/"&amp;8</f>
        <v/>
      </c>
      <c r="D12" s="5">
        <f>Tracker!M10</f>
        <v/>
      </c>
    </row>
    <row r="13">
      <c r="A13" s="16">
        <f>Tracker!A11</f>
        <v/>
      </c>
      <c r="B13" s="6">
        <f>Tracker!L11</f>
        <v/>
      </c>
      <c r="C13" s="5">
        <f>Tracker!J11&amp;"/"&amp;8</f>
        <v/>
      </c>
      <c r="D13" s="5">
        <f>Tracker!M11</f>
        <v/>
      </c>
    </row>
    <row r="14">
      <c r="A14" s="16">
        <f>Tracker!A12</f>
        <v/>
      </c>
      <c r="B14" s="6">
        <f>Tracker!L12</f>
        <v/>
      </c>
      <c r="C14" s="5">
        <f>Tracker!J12&amp;"/"&amp;8</f>
        <v/>
      </c>
      <c r="D14" s="5">
        <f>Tracker!M12</f>
        <v/>
      </c>
    </row>
    <row r="15">
      <c r="A15" s="16">
        <f>Tracker!A13</f>
        <v/>
      </c>
      <c r="B15" s="6">
        <f>Tracker!L13</f>
        <v/>
      </c>
      <c r="C15" s="5">
        <f>Tracker!J13&amp;"/"&amp;8</f>
        <v/>
      </c>
      <c r="D15" s="5">
        <f>Tracker!M13</f>
        <v/>
      </c>
    </row>
    <row r="17">
      <c r="A17" s="3" t="inlineStr">
        <is>
          <t>Compliance Step</t>
        </is>
      </c>
      <c r="B17" s="3" t="inlineStr">
        <is>
          <t>Brands Done</t>
        </is>
      </c>
      <c r="C17" s="3" t="inlineStr">
        <is>
          <t>% Done</t>
        </is>
      </c>
    </row>
    <row r="18">
      <c r="A18" s="16" t="inlineStr">
        <is>
          <t>Term Sheet</t>
        </is>
      </c>
      <c r="B18" s="5">
        <f>COUNTIF(Tracker!B4:B13,"Done")</f>
        <v/>
      </c>
      <c r="C18" s="6">
        <f>COUNTIF(Tracker!B4:B13,"Done")/10</f>
        <v/>
      </c>
    </row>
    <row r="19">
      <c r="A19" s="16" t="inlineStr">
        <is>
          <t>Agreement</t>
        </is>
      </c>
      <c r="B19" s="5">
        <f>COUNTIF(Tracker!C4:C13,"Done")</f>
        <v/>
      </c>
      <c r="C19" s="6">
        <f>COUNTIF(Tracker!C4:C13,"Done")/10</f>
        <v/>
      </c>
    </row>
    <row r="20">
      <c r="A20" s="16" t="inlineStr">
        <is>
          <t>FSSAI</t>
        </is>
      </c>
      <c r="B20" s="5">
        <f>COUNTIF(Tracker!D4:D13,"Done")</f>
        <v/>
      </c>
      <c r="C20" s="6">
        <f>COUNTIF(Tracker!D4:D13,"Done")/10</f>
        <v/>
      </c>
    </row>
    <row r="21">
      <c r="A21" s="16" t="inlineStr">
        <is>
          <t>Final Menu</t>
        </is>
      </c>
      <c r="B21" s="5">
        <f>COUNTIF(Tracker!E4:E13,"Done")</f>
        <v/>
      </c>
      <c r="C21" s="6">
        <f>COUNTIF(Tracker!E4:E13,"Done")/10</f>
        <v/>
      </c>
    </row>
    <row r="22">
      <c r="A22" s="16" t="inlineStr">
        <is>
          <t>PDC</t>
        </is>
      </c>
      <c r="B22" s="5">
        <f>COUNTIF(Tracker!F4:F13,"Done")</f>
        <v/>
      </c>
      <c r="C22" s="6">
        <f>COUNTIF(Tracker!F4:F13,"Done")/10</f>
        <v/>
      </c>
    </row>
    <row r="23">
      <c r="A23" s="16" t="inlineStr">
        <is>
          <t>Employee List</t>
        </is>
      </c>
      <c r="B23" s="5">
        <f>COUNTIF(Tracker!G4:G13,"Done")</f>
        <v/>
      </c>
      <c r="C23" s="6">
        <f>COUNTIF(Tracker!G4:G13,"Done")/10</f>
        <v/>
      </c>
    </row>
    <row r="24">
      <c r="A24" s="16" t="inlineStr">
        <is>
          <t>Medicals</t>
        </is>
      </c>
      <c r="B24" s="5">
        <f>COUNTIF(Tracker!H4:H13,"Done")</f>
        <v/>
      </c>
      <c r="C24" s="6">
        <f>COUNTIF(Tracker!H4:H13,"Done")/10</f>
        <v/>
      </c>
    </row>
    <row r="25">
      <c r="A25" s="16" t="inlineStr">
        <is>
          <t>Police Verification</t>
        </is>
      </c>
      <c r="B25" s="5">
        <f>COUNTIF(Tracker!I4:I13,"Done")</f>
        <v/>
      </c>
      <c r="C25" s="6">
        <f>COUNTIF(Tracker!I4:I13,"Done")/10</f>
        <v/>
      </c>
    </row>
  </sheetData>
  <mergeCells count="2">
    <mergeCell ref="A1:D1"/>
    <mergeCell ref="B3:D3"/>
  </mergeCells>
  <conditionalFormatting sqref="B6:B15">
    <cfRule type="dataBar" priority="1">
      <dataBar showValue="1">
        <cfvo type="num" val="0"/>
        <cfvo type="num" val="1"/>
        <color rgb="004472C4"/>
      </dataBar>
    </cfRule>
  </conditionalFormatting>
  <conditionalFormatting sqref="C18:C25">
    <cfRule type="dataBar" priority="2">
      <dataBar showValue="1">
        <cfvo type="num" val="0"/>
        <cfvo type="num" val="1"/>
        <color rgb="00ED7D3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2026-07-25T05:49:17Z</dcterms:created>
  <dcterms:modified xsi:type="dcterms:W3CDTF">2026-07-25T05:49:17Z</dcterms:modified>
</cp:coreProperties>
</file>